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ka\Desktop\"/>
    </mc:Choice>
  </mc:AlternateContent>
  <xr:revisionPtr revIDLastSave="0" documentId="13_ncr:1_{AC2E72D9-CEC2-4012-B832-0E0DF01AA49E}" xr6:coauthVersionLast="47" xr6:coauthVersionMax="47" xr10:uidLastSave="{00000000-0000-0000-0000-000000000000}"/>
  <bookViews>
    <workbookView xWindow="-165" yWindow="-165" windowWidth="29130" windowHeight="15930" xr2:uid="{E95F389E-A9F8-4954-A8DD-1A6B85148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C10" i="1" s="1"/>
  <c r="G10" i="1" s="1"/>
  <c r="D12" i="1"/>
  <c r="D11" i="1"/>
  <c r="D10" i="1"/>
  <c r="E11" i="1"/>
  <c r="C4" i="1"/>
  <c r="C1" i="1"/>
  <c r="F11" i="1"/>
  <c r="C12" i="1" l="1"/>
  <c r="E4" i="1"/>
  <c r="C11" i="1" s="1"/>
  <c r="G11" i="1" s="1"/>
  <c r="G12" i="1"/>
  <c r="G13" i="1"/>
</calcChain>
</file>

<file path=xl/sharedStrings.xml><?xml version="1.0" encoding="utf-8"?>
<sst xmlns="http://schemas.openxmlformats.org/spreadsheetml/2006/main" count="20" uniqueCount="20">
  <si>
    <t>Element</t>
  </si>
  <si>
    <t>Transmissivity</t>
  </si>
  <si>
    <t>Reflectance</t>
  </si>
  <si>
    <t>Big Mirror</t>
  </si>
  <si>
    <t>Losses scattering</t>
  </si>
  <si>
    <t>Losses Absorption</t>
  </si>
  <si>
    <t>Losses Volumetric absorption</t>
  </si>
  <si>
    <t>Lens</t>
  </si>
  <si>
    <t>Small mirror</t>
  </si>
  <si>
    <t>?</t>
  </si>
  <si>
    <t>scattring losses on mirrors</t>
  </si>
  <si>
    <t>absorption losses on mirrors</t>
  </si>
  <si>
    <t>lens thickness:</t>
  </si>
  <si>
    <t xml:space="preserve">lens volumetric absorption = </t>
  </si>
  <si>
    <t>total losses (excluding  mirror transmission)</t>
  </si>
  <si>
    <t>Total</t>
  </si>
  <si>
    <t>supposed losses due to scattering with ligo paper</t>
  </si>
  <si>
    <t>reflectance losses lens</t>
  </si>
  <si>
    <t>scattring losses on lens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</si>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</sst>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9D9CF-637B-40C3-8BDD-E1ED55D29622}">
  <dimension ref="A1:G18"/>
  <sheetViews>
    <sheetView tabSelected="1" workbookViewId="0">
      <selection activeCell="G13" sqref="G13"/>
    </sheetView>
  </sheetViews>
  <sheetFormatPr defaultRowHeight="15" x14ac:dyDescent="0.25"/>
  <cols>
    <col min="1" max="1" width="12" bestFit="1" customWidth="1"/>
    <col min="2" max="2" width="27" bestFit="1" customWidth="1"/>
    <col min="3" max="3" width="16.28515625" bestFit="1" customWidth="1"/>
    <col min="4" max="4" width="25" bestFit="1" customWidth="1"/>
    <col min="5" max="5" width="27.7109375" bestFit="1" customWidth="1"/>
    <col min="6" max="6" width="11.140625" bestFit="1" customWidth="1"/>
    <col min="7" max="7" width="41" bestFit="1" customWidth="1"/>
  </cols>
  <sheetData>
    <row r="1" spans="1:7" x14ac:dyDescent="0.25">
      <c r="A1">
        <v>0.31230000000000002</v>
      </c>
      <c r="B1" t="s">
        <v>12</v>
      </c>
      <c r="C1">
        <f>SUM(A1:A3)*0.001</f>
        <v>2.9140999999999998E-3</v>
      </c>
    </row>
    <row r="2" spans="1:7" x14ac:dyDescent="0.25">
      <c r="A2">
        <v>1</v>
      </c>
      <c r="D2" t="s">
        <v>10</v>
      </c>
      <c r="E2">
        <f>(4*PI() * 0.5 / 1064)^2</f>
        <v>3.487196987212872E-5</v>
      </c>
    </row>
    <row r="3" spans="1:7" x14ac:dyDescent="0.25">
      <c r="A3">
        <v>1.6017999999999999</v>
      </c>
      <c r="D3" t="s">
        <v>11</v>
      </c>
      <c r="E3" s="1">
        <v>9.9999999999999995E-7</v>
      </c>
    </row>
    <row r="4" spans="1:7" x14ac:dyDescent="0.25">
      <c r="B4" t="s">
        <v>13</v>
      </c>
      <c r="C4">
        <f>0.0001*100</f>
        <v>0.01</v>
      </c>
      <c r="D4" t="s">
        <v>18</v>
      </c>
      <c r="E4">
        <f>E2/1.76</f>
        <v>1.9813619245527683E-5</v>
      </c>
    </row>
    <row r="5" spans="1:7" x14ac:dyDescent="0.25">
      <c r="C5" t="s">
        <v>19</v>
      </c>
      <c r="D5" t="s">
        <v>17</v>
      </c>
      <c r="E5" s="1">
        <v>1E-4</v>
      </c>
    </row>
    <row r="9" spans="1:7" x14ac:dyDescent="0.25">
      <c r="A9" t="s">
        <v>0</v>
      </c>
      <c r="B9" t="s">
        <v>1</v>
      </c>
      <c r="C9" t="s">
        <v>4</v>
      </c>
      <c r="D9" t="s">
        <v>5</v>
      </c>
      <c r="E9" t="s">
        <v>6</v>
      </c>
      <c r="F9" t="s">
        <v>2</v>
      </c>
      <c r="G9" t="s">
        <v>14</v>
      </c>
    </row>
    <row r="10" spans="1:7" x14ac:dyDescent="0.25">
      <c r="A10" t="s">
        <v>3</v>
      </c>
      <c r="B10" t="s">
        <v>9</v>
      </c>
      <c r="C10" s="1">
        <f>E2</f>
        <v>3.487196987212872E-5</v>
      </c>
      <c r="D10" s="1">
        <f>E3</f>
        <v>9.9999999999999995E-7</v>
      </c>
      <c r="E10">
        <v>0</v>
      </c>
      <c r="G10" s="1">
        <f>C10+D10</f>
        <v>3.5871969872128717E-5</v>
      </c>
    </row>
    <row r="11" spans="1:7" x14ac:dyDescent="0.25">
      <c r="A11" t="s">
        <v>7</v>
      </c>
      <c r="C11" s="1">
        <f>E4</f>
        <v>1.9813619245527683E-5</v>
      </c>
      <c r="D11" s="1">
        <f>E3</f>
        <v>9.9999999999999995E-7</v>
      </c>
      <c r="E11">
        <f>C4*C1</f>
        <v>2.9140999999999998E-5</v>
      </c>
      <c r="F11" s="1">
        <f>E5</f>
        <v>1E-4</v>
      </c>
      <c r="G11" s="1">
        <f>C11*4+D11*4+E11*2+F11*4</f>
        <v>5.4153647698211072E-4</v>
      </c>
    </row>
    <row r="12" spans="1:7" x14ac:dyDescent="0.25">
      <c r="A12" t="s">
        <v>8</v>
      </c>
      <c r="B12" s="1">
        <v>3.0000000000000001E-5</v>
      </c>
      <c r="C12" s="1">
        <f>E2</f>
        <v>3.487196987212872E-5</v>
      </c>
      <c r="D12" s="1">
        <f>E3</f>
        <v>9.9999999999999995E-7</v>
      </c>
      <c r="E12">
        <v>0</v>
      </c>
      <c r="G12" s="1">
        <f>C12+D12</f>
        <v>3.5871969872128717E-5</v>
      </c>
    </row>
    <row r="13" spans="1:7" x14ac:dyDescent="0.25">
      <c r="A13" t="s">
        <v>15</v>
      </c>
      <c r="G13" s="1">
        <f>SUM(G10:G12)</f>
        <v>6.1328041672636816E-4</v>
      </c>
    </row>
    <row r="18" spans="1:1" x14ac:dyDescent="0.25">
      <c r="A1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Weizmann Institute of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מיכאל קלי</dc:creator>
  <cp:lastModifiedBy>מיכאל קלי</cp:lastModifiedBy>
  <dcterms:created xsi:type="dcterms:W3CDTF">2024-11-20T14:34:22Z</dcterms:created>
  <dcterms:modified xsi:type="dcterms:W3CDTF">2024-11-23T14:24:09Z</dcterms:modified>
</cp:coreProperties>
</file>